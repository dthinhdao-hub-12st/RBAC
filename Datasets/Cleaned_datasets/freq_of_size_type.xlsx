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_of_size_type" sheetId="1" r:id="rId5"/>
  </sheets>
  <definedNames/>
  <calcPr/>
</workbook>
</file>

<file path=xl/sharedStrings.xml><?xml version="1.0" encoding="utf-8"?>
<sst xmlns="http://schemas.openxmlformats.org/spreadsheetml/2006/main" count="34" uniqueCount="34">
  <si>
    <t>SIZE_TYPE</t>
  </si>
  <si>
    <t>COUNT</t>
  </si>
  <si>
    <t>Total Defense Shield</t>
  </si>
  <si>
    <t>Classic Clean 100</t>
  </si>
  <si>
    <t>Deep Action White</t>
  </si>
  <si>
    <t>Total Action Model S</t>
  </si>
  <si>
    <t>EcoFresh Plus</t>
  </si>
  <si>
    <t>PureMint Fresh</t>
  </si>
  <si>
    <t>Renew 360</t>
  </si>
  <si>
    <t>Pro-Clean 5000</t>
  </si>
  <si>
    <t>Zenith Active</t>
  </si>
  <si>
    <t>Junior Sparkle (Ages 2+)</t>
  </si>
  <si>
    <t>Super Soft Tech</t>
  </si>
  <si>
    <t>GreenClean Pro</t>
  </si>
  <si>
    <t>Total Action Green</t>
  </si>
  <si>
    <t>Defense Action Pro</t>
  </si>
  <si>
    <t>ActiveClean Guard</t>
  </si>
  <si>
    <t>Kids FunBrush (Tandy)</t>
  </si>
  <si>
    <t>Advanced Hydro-Clean</t>
  </si>
  <si>
    <t>Pro-Shield Complete</t>
  </si>
  <si>
    <t>ActiveClean Model X</t>
  </si>
  <si>
    <t>Precision Grip 2.0</t>
  </si>
  <si>
    <t>Classic White 110</t>
  </si>
  <si>
    <t>Super Soft Pro</t>
  </si>
  <si>
    <t>Ocean Explorer (Ages 6+)</t>
  </si>
  <si>
    <t>GreenClean Classic</t>
  </si>
  <si>
    <t>Zenith GreenClean</t>
  </si>
  <si>
    <t>Oral Care 360</t>
  </si>
  <si>
    <t>Safari Explorer (Ages 6+)</t>
  </si>
  <si>
    <t>Zenith Classic Clean</t>
  </si>
  <si>
    <t>EcoFresh Green</t>
  </si>
  <si>
    <t>EcoSoft Classic</t>
  </si>
  <si>
    <t>Junior Guard Taper (Ages 5+)</t>
  </si>
  <si>
    <t>GreenClean Ultra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</si>
</sst>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16.75"/>
  </cols>
  <sheetData>
    <row r="1">
      <c r="A1" s="1" t="s">
        <v>0</v>
      </c>
      <c r="B1" s="1" t="s">
        <v>1</v>
      </c>
    </row>
    <row r="2">
      <c r="A2" s="1" t="s">
        <v>2</v>
      </c>
      <c r="B2" s="1">
        <v>3242.0</v>
      </c>
      <c r="C2" s="2">
        <f t="shared" ref="C2:C33" si="1">B2*100/$B$34</f>
        <v>16.52395515</v>
      </c>
    </row>
    <row r="3">
      <c r="A3" s="1" t="s">
        <v>3</v>
      </c>
      <c r="B3" s="1">
        <v>2908.0</v>
      </c>
      <c r="C3" s="2">
        <f t="shared" si="1"/>
        <v>14.8216106</v>
      </c>
    </row>
    <row r="4">
      <c r="A4" s="1" t="s">
        <v>4</v>
      </c>
      <c r="B4" s="1">
        <v>1686.0</v>
      </c>
      <c r="C4" s="2">
        <f t="shared" si="1"/>
        <v>8.593272171</v>
      </c>
    </row>
    <row r="5">
      <c r="A5" s="1" t="s">
        <v>5</v>
      </c>
      <c r="B5" s="1">
        <v>1302.0</v>
      </c>
      <c r="C5" s="2">
        <f t="shared" si="1"/>
        <v>6.636085627</v>
      </c>
    </row>
    <row r="6">
      <c r="A6" s="1" t="s">
        <v>6</v>
      </c>
      <c r="B6" s="1">
        <v>1132.0</v>
      </c>
      <c r="C6" s="2">
        <f t="shared" si="1"/>
        <v>5.769622834</v>
      </c>
    </row>
    <row r="7">
      <c r="A7" s="1" t="s">
        <v>7</v>
      </c>
      <c r="B7" s="1">
        <v>828.0</v>
      </c>
      <c r="C7" s="2">
        <f t="shared" si="1"/>
        <v>4.220183486</v>
      </c>
    </row>
    <row r="8">
      <c r="A8" s="1" t="s">
        <v>8</v>
      </c>
      <c r="B8" s="1">
        <v>798.0</v>
      </c>
      <c r="C8" s="2">
        <f t="shared" si="1"/>
        <v>4.067278287</v>
      </c>
    </row>
    <row r="9">
      <c r="A9" s="1" t="s">
        <v>9</v>
      </c>
      <c r="B9" s="1">
        <v>794.0</v>
      </c>
      <c r="C9" s="2">
        <f t="shared" si="1"/>
        <v>4.046890928</v>
      </c>
    </row>
    <row r="10">
      <c r="A10" s="1" t="s">
        <v>10</v>
      </c>
      <c r="B10" s="1">
        <v>767.0</v>
      </c>
      <c r="C10" s="2">
        <f t="shared" si="1"/>
        <v>3.909276249</v>
      </c>
    </row>
    <row r="11">
      <c r="A11" s="1" t="s">
        <v>11</v>
      </c>
      <c r="B11" s="1">
        <v>754.0</v>
      </c>
      <c r="C11" s="2">
        <f t="shared" si="1"/>
        <v>3.843017329</v>
      </c>
    </row>
    <row r="12">
      <c r="A12" s="1" t="s">
        <v>12</v>
      </c>
      <c r="B12" s="1">
        <v>713.0</v>
      </c>
      <c r="C12" s="2">
        <f t="shared" si="1"/>
        <v>3.634046891</v>
      </c>
    </row>
    <row r="13">
      <c r="A13" s="1" t="s">
        <v>13</v>
      </c>
      <c r="B13" s="1">
        <v>556.0</v>
      </c>
      <c r="C13" s="2">
        <f t="shared" si="1"/>
        <v>2.833843017</v>
      </c>
    </row>
    <row r="14">
      <c r="A14" s="1" t="s">
        <v>14</v>
      </c>
      <c r="B14" s="1">
        <v>449.0</v>
      </c>
      <c r="C14" s="2">
        <f t="shared" si="1"/>
        <v>2.288481142</v>
      </c>
    </row>
    <row r="15">
      <c r="A15" s="1" t="s">
        <v>15</v>
      </c>
      <c r="B15" s="1">
        <v>448.0</v>
      </c>
      <c r="C15" s="2">
        <f t="shared" si="1"/>
        <v>2.283384302</v>
      </c>
    </row>
    <row r="16">
      <c r="A16" s="1" t="s">
        <v>16</v>
      </c>
      <c r="B16" s="1">
        <v>408.0</v>
      </c>
      <c r="C16" s="2">
        <f t="shared" si="1"/>
        <v>2.079510703</v>
      </c>
    </row>
    <row r="17">
      <c r="A17" s="1" t="s">
        <v>17</v>
      </c>
      <c r="B17" s="1">
        <v>282.0</v>
      </c>
      <c r="C17" s="2">
        <f t="shared" si="1"/>
        <v>1.437308869</v>
      </c>
    </row>
    <row r="18">
      <c r="A18" s="1" t="s">
        <v>18</v>
      </c>
      <c r="B18" s="1">
        <v>278.0</v>
      </c>
      <c r="C18" s="2">
        <f t="shared" si="1"/>
        <v>1.416921509</v>
      </c>
    </row>
    <row r="19">
      <c r="A19" s="1" t="s">
        <v>19</v>
      </c>
      <c r="B19" s="1">
        <v>276.0</v>
      </c>
      <c r="C19" s="2">
        <f t="shared" si="1"/>
        <v>1.406727829</v>
      </c>
    </row>
    <row r="20">
      <c r="A20" s="1" t="s">
        <v>20</v>
      </c>
      <c r="B20" s="1">
        <v>243.0</v>
      </c>
      <c r="C20" s="2">
        <f t="shared" si="1"/>
        <v>1.23853211</v>
      </c>
    </row>
    <row r="21">
      <c r="A21" s="1" t="s">
        <v>21</v>
      </c>
      <c r="B21" s="1">
        <v>241.0</v>
      </c>
      <c r="C21" s="2">
        <f t="shared" si="1"/>
        <v>1.22833843</v>
      </c>
    </row>
    <row r="22">
      <c r="A22" s="1" t="s">
        <v>22</v>
      </c>
      <c r="B22" s="1">
        <v>235.0</v>
      </c>
      <c r="C22" s="2">
        <f t="shared" si="1"/>
        <v>1.19775739</v>
      </c>
    </row>
    <row r="23">
      <c r="A23" s="1" t="s">
        <v>23</v>
      </c>
      <c r="B23" s="1">
        <v>220.0</v>
      </c>
      <c r="C23" s="2">
        <f t="shared" si="1"/>
        <v>1.121304791</v>
      </c>
    </row>
    <row r="24">
      <c r="A24" s="1" t="s">
        <v>24</v>
      </c>
      <c r="B24" s="1">
        <v>210.0</v>
      </c>
      <c r="C24" s="2">
        <f t="shared" si="1"/>
        <v>1.070336391</v>
      </c>
    </row>
    <row r="25">
      <c r="A25" s="1" t="s">
        <v>25</v>
      </c>
      <c r="B25" s="1">
        <v>202.0</v>
      </c>
      <c r="C25" s="2">
        <f t="shared" si="1"/>
        <v>1.029561672</v>
      </c>
    </row>
    <row r="26">
      <c r="A26" s="1" t="s">
        <v>26</v>
      </c>
      <c r="B26" s="1">
        <v>163.0</v>
      </c>
      <c r="C26" s="2">
        <f t="shared" si="1"/>
        <v>0.8307849134</v>
      </c>
    </row>
    <row r="27">
      <c r="A27" s="1" t="s">
        <v>27</v>
      </c>
      <c r="B27" s="1">
        <v>160.0</v>
      </c>
      <c r="C27" s="2">
        <f t="shared" si="1"/>
        <v>0.8154943935</v>
      </c>
    </row>
    <row r="28">
      <c r="A28" s="1" t="s">
        <v>28</v>
      </c>
      <c r="B28" s="1">
        <v>98.0</v>
      </c>
      <c r="C28" s="2">
        <f t="shared" si="1"/>
        <v>0.499490316</v>
      </c>
    </row>
    <row r="29">
      <c r="A29" s="1" t="s">
        <v>29</v>
      </c>
      <c r="B29" s="1">
        <v>78.0</v>
      </c>
      <c r="C29" s="2">
        <f t="shared" si="1"/>
        <v>0.3975535168</v>
      </c>
    </row>
    <row r="30">
      <c r="A30" s="1" t="s">
        <v>30</v>
      </c>
      <c r="B30" s="1">
        <v>72.0</v>
      </c>
      <c r="C30" s="2">
        <f t="shared" si="1"/>
        <v>0.3669724771</v>
      </c>
    </row>
    <row r="31">
      <c r="A31" s="1" t="s">
        <v>31</v>
      </c>
      <c r="B31" s="1">
        <v>38.0</v>
      </c>
      <c r="C31" s="2">
        <f t="shared" si="1"/>
        <v>0.1936799185</v>
      </c>
    </row>
    <row r="32">
      <c r="A32" s="1" t="s">
        <v>32</v>
      </c>
      <c r="B32" s="1">
        <v>27.0</v>
      </c>
      <c r="C32" s="2">
        <f t="shared" si="1"/>
        <v>0.1376146789</v>
      </c>
    </row>
    <row r="33">
      <c r="A33" s="1" t="s">
        <v>33</v>
      </c>
      <c r="B33" s="1">
        <v>12.0</v>
      </c>
      <c r="C33" s="2">
        <f t="shared" si="1"/>
        <v>0.06116207951</v>
      </c>
    </row>
    <row r="34">
      <c r="B34" s="3">
        <f>SUM(B2:B33)</f>
        <v>19620</v>
      </c>
    </row>
  </sheetData>
  <drawing r:id="rId1"/>
</worksheet>
</file>